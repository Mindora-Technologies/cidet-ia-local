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ment" sheetId="1" state="visible" r:id="rId1"/>
    <sheet xmlns:r="http://schemas.openxmlformats.org/officeDocument/2006/relationships" name="GPUs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Exe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0F6E6A"/>
      <sz val="16"/>
    </font>
    <font>
      <name val="Calibri"/>
      <i val="1"/>
      <color rgb="005C6B6A"/>
      <sz val="9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0F6E6A"/>
      <sz val="12"/>
    </font>
    <font>
      <name val="Calibri"/>
      <b val="1"/>
      <sz val="12"/>
    </font>
    <font>
      <name val="Consolas"/>
      <b val="1"/>
      <color rgb="000F6E6A"/>
      <sz val="10"/>
    </font>
    <font>
      <name val="Calibri"/>
      <color rgb="005C6B6A"/>
      <sz val="9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0F6E6A"/>
      <sz val="14"/>
    </font>
    <font>
      <name val="Calibri"/>
      <i val="1"/>
      <color rgb="005C6B6A"/>
      <sz val="10"/>
    </font>
    <font>
      <name val="Consolas"/>
      <b val="1"/>
      <color rgb="000F6E6A"/>
      <sz val="13"/>
    </font>
    <font>
      <name val="Calibri"/>
      <b val="1"/>
      <color rgb="000F6E6A"/>
      <sz val="10"/>
    </font>
  </fonts>
  <fills count="5">
    <fill>
      <patternFill/>
    </fill>
    <fill>
      <patternFill patternType="gray125"/>
    </fill>
    <fill>
      <patternFill patternType="solid">
        <fgColor rgb="000F6E6A"/>
      </patternFill>
    </fill>
    <fill>
      <patternFill patternType="solid">
        <fgColor rgb="00FFF9E9"/>
      </patternFill>
    </fill>
    <fill>
      <patternFill patternType="solid">
        <fgColor rgb="00E3F0EF"/>
      </patternFill>
    </fill>
  </fills>
  <borders count="10">
    <border>
      <left/>
      <right/>
      <top/>
      <bottom/>
      <diagonal/>
    </border>
    <border>
      <left style="thin">
        <color rgb="00C9D6D5"/>
      </left>
      <right style="thin">
        <color rgb="00C9D6D5"/>
      </right>
      <top style="thin">
        <color rgb="00C9D6D5"/>
      </top>
      <bottom style="thin">
        <color rgb="00C9D6D5"/>
      </bottom>
    </border>
    <border>
      <left/>
      <right/>
      <top style="thin">
        <color rgb="00C9D6D5"/>
      </top>
      <bottom/>
      <diagonal/>
    </border>
    <border>
      <left/>
      <right style="thin">
        <color rgb="00C9D6D5"/>
      </right>
      <top style="thin">
        <color rgb="00C9D6D5"/>
      </top>
      <bottom/>
      <diagonal/>
    </border>
    <border>
      <left/>
      <right style="thin">
        <color rgb="00C9D6D5"/>
      </right>
      <top style="thin">
        <color rgb="00C9D6D5"/>
      </top>
      <bottom style="thin">
        <color rgb="00C9D6D5"/>
      </bottom>
      <diagonal/>
    </border>
    <border>
      <left style="thin">
        <color rgb="000F6E6A"/>
      </left>
      <right style="thin">
        <color rgb="000F6E6A"/>
      </right>
      <top style="thin">
        <color rgb="000F6E6A"/>
      </top>
      <bottom style="thin">
        <color rgb="000F6E6A"/>
      </bottom>
    </border>
    <border>
      <left style="thin">
        <color rgb="00C9D6D5"/>
      </left>
      <right/>
      <top/>
      <bottom/>
      <diagonal/>
    </border>
    <border>
      <left style="thin">
        <color rgb="00C9D6D5"/>
      </left>
      <right style="thin">
        <color rgb="00C9D6D5"/>
      </right>
      <top/>
      <bottom/>
      <diagonal/>
    </border>
    <border>
      <left style="thin">
        <color rgb="00C9D6D5"/>
      </left>
      <right style="thin">
        <color rgb="00C9D6D5"/>
      </right>
      <top/>
      <bottom style="thin">
        <color rgb="00C9D6D5"/>
      </bottom>
      <diagonal/>
    </border>
    <border>
      <left/>
      <right/>
      <top style="thin">
        <color rgb="00C9D6D5"/>
      </top>
      <bottom style="thin">
        <color rgb="00C9D6D5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4" pivotButton="0" quotePrefix="0" xfId="0"/>
    <xf numFmtId="0" fontId="4" fillId="0" borderId="0" applyAlignment="1" pivotButton="0" quotePrefix="0" xfId="0">
      <alignment vertical="center"/>
    </xf>
    <xf numFmtId="0" fontId="5" fillId="3" borderId="5" applyAlignment="1" applyProtection="1" pivotButton="0" quotePrefix="0" xfId="0">
      <alignment horizontal="center" vertical="center"/>
      <protection locked="0" hidden="0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0" fillId="0" borderId="7" pivotButton="0" quotePrefix="0" xfId="0"/>
    <xf numFmtId="164" fontId="5" fillId="3" borderId="5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center"/>
    </xf>
    <xf numFmtId="2" fontId="6" fillId="4" borderId="1" applyAlignment="1" pivotButton="0" quotePrefix="0" xfId="0">
      <alignment horizontal="center" vertical="center"/>
    </xf>
    <xf numFmtId="1" fontId="5" fillId="3" borderId="5" applyAlignment="1" applyProtection="1" pivotButton="0" quotePrefix="0" xfId="0">
      <alignment horizontal="center" vertical="center"/>
      <protection locked="0" hidden="0"/>
    </xf>
    <xf numFmtId="1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0" fillId="0" borderId="8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/>
    </xf>
    <xf numFmtId="2" fontId="11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0" fillId="0" borderId="9" pivotButton="0" quotePrefix="0" xfId="0"/>
    <xf numFmtId="0" fontId="15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1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dxfs count="6">
    <dxf>
      <font>
        <name val="Calibri"/>
        <b val="1"/>
        <color rgb="001E7A3C"/>
        <sz val="12"/>
      </font>
      <fill>
        <patternFill patternType="solid">
          <fgColor rgb="00DFF3E4"/>
          <bgColor rgb="00DFF3E4"/>
        </patternFill>
      </fill>
    </dxf>
    <dxf>
      <font>
        <name val="Calibri"/>
        <b val="1"/>
        <color rgb="009A6700"/>
        <sz val="12"/>
      </font>
      <fill>
        <patternFill patternType="solid">
          <fgColor rgb="00FFF1CC"/>
          <bgColor rgb="00FFF1CC"/>
        </patternFill>
      </fill>
    </dxf>
    <dxf>
      <font>
        <name val="Calibri"/>
        <b val="1"/>
        <color rgb="00B01C1C"/>
        <sz val="12"/>
      </font>
      <fill>
        <patternFill patternType="solid">
          <fgColor rgb="00FBDDDD"/>
          <bgColor rgb="00FBDDDD"/>
        </patternFill>
      </fill>
    </dxf>
    <dxf>
      <font>
        <name val="Calibri"/>
        <b val="1"/>
        <color rgb="00B01C1C"/>
      </font>
      <fill>
        <patternFill patternType="solid">
          <fgColor rgb="00FBDDDD"/>
          <bgColor rgb="00FBDDDD"/>
        </patternFill>
      </fill>
    </dxf>
    <dxf>
      <font>
        <name val="Calibri"/>
        <b val="1"/>
        <color rgb="009A6700"/>
      </font>
      <fill>
        <patternFill patternType="solid">
          <fgColor rgb="00FFF1CC"/>
          <bgColor rgb="00FFF1CC"/>
        </patternFill>
      </fill>
    </dxf>
    <dxf>
      <font>
        <name val="Calibri"/>
        <b val="1"/>
        <color rgb="001E7A3C"/>
      </font>
      <fill>
        <patternFill patternType="solid">
          <fgColor rgb="00DFF3E4"/>
          <bgColor rgb="00DF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6E6A"/>
    <outlinePr summaryBelow="1" summaryRight="1"/>
    <pageSetUpPr/>
  </sheetPr>
  <dimension ref="B2:H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4" customWidth="1" min="4" max="4"/>
    <col width="30" customWidth="1" min="5" max="5"/>
    <col width="18" customWidth="1" min="6" max="6"/>
    <col width="3" customWidth="1" min="7" max="7"/>
    <col width="46" customWidth="1" min="8" max="8"/>
  </cols>
  <sheetData>
    <row r="2">
      <c r="B2" s="1" t="inlineStr">
        <is>
          <t>Dimensionament de maquinari per a LLM en local</t>
        </is>
      </c>
    </row>
    <row r="3">
      <c r="B3" s="2" t="inlineStr">
        <is>
          <t>Omple només les caselles grogues. La resta són fórmules: fes-hi clic per veure-les.</t>
        </is>
      </c>
    </row>
    <row r="5">
      <c r="B5" s="3" t="inlineStr">
        <is>
          <t>ENTRADES</t>
        </is>
      </c>
      <c r="C5" s="4" t="n"/>
      <c r="E5" s="3" t="inlineStr">
        <is>
          <t>RESULTATS</t>
        </is>
      </c>
      <c r="F5" s="4" t="n"/>
      <c r="H5" s="3" t="inlineStr">
        <is>
          <t>VEREDICTE</t>
        </is>
      </c>
    </row>
    <row r="6" ht="15" customHeight="1">
      <c r="B6" s="5" t="inlineStr">
        <is>
          <t>Nom del client</t>
        </is>
      </c>
      <c r="C6" s="6" t="inlineStr">
        <is>
          <t>Ferreteria Puig SL</t>
        </is>
      </c>
      <c r="E6" s="5" t="inlineStr">
        <is>
          <t>Bytes per paràmetre</t>
        </is>
      </c>
      <c r="F6" s="7">
        <f>VLOOKUP($C$9,Referencia!$B$5:$D$9,3,FALSE)</f>
        <v/>
      </c>
      <c r="H6" s="8">
        <f>IF($F$11&lt;0,"✘ NO hi cap. Falten "&amp;TEXT(-$F$11,"0.0")&amp;" GB. Opcions: (1) baixa a una quantització més agressiva, (2) tria un model més petit, (3) fes offload a CPU —perdràs molta velocitat—, o (4) canvia de GPU.",IF($F$11&lt;=1.5,"⚠ Hi cap JUST ("&amp;TEXT($F$11,"0.0")&amp;" GB de marge). Funcionarà, però sense recorregut: baixa el context o quantitza la KV cache a Q8 abans de posar-ho en producció. Amb "&amp;$C$12&amp;" usuari(s) el marge es menja de pressa.","✔ Hi cap bé ("&amp;TEXT($F$11,"0.0")&amp;" GB de marge). Espera uns "&amp;TEXT($F$16,"0")&amp;" tokens/s. Encara tens marge per pujar el context o servir més usuaris en paral·lel."))</f>
        <v/>
      </c>
    </row>
    <row r="7">
      <c r="B7" s="5" t="inlineStr">
        <is>
          <t>Model candidat</t>
        </is>
      </c>
      <c r="C7" s="6" t="inlineStr">
        <is>
          <t>Qwen3 14B</t>
        </is>
      </c>
      <c r="E7" s="5" t="inlineStr">
        <is>
          <t>VRAM pesos (GB)</t>
        </is>
      </c>
      <c r="F7" s="7">
        <f>$C$8*VLOOKUP($C$9,Referencia!$B$5:$D$9,3,FALSE)*1.1</f>
        <v/>
      </c>
      <c r="H7" s="9" t="n"/>
    </row>
    <row r="8">
      <c r="B8" s="5" t="inlineStr">
        <is>
          <t>Paràmetres (B)</t>
        </is>
      </c>
      <c r="C8" s="10" t="n">
        <v>14</v>
      </c>
      <c r="E8" s="5" t="inlineStr">
        <is>
          <t>VRAM context (GB)</t>
        </is>
      </c>
      <c r="F8" s="7">
        <f>$C$10/1000*0.15*$C$12*IF($C$11="Q8",0.5,1)</f>
        <v/>
      </c>
      <c r="H8" s="9" t="n"/>
    </row>
    <row r="9">
      <c r="B9" s="5" t="inlineStr">
        <is>
          <t>Quantització</t>
        </is>
      </c>
      <c r="C9" s="6" t="inlineStr">
        <is>
          <t>Q4</t>
        </is>
      </c>
      <c r="E9" s="11" t="inlineStr">
        <is>
          <t>VRAM total (GB)</t>
        </is>
      </c>
      <c r="F9" s="12">
        <f>$F$7+$F$8</f>
        <v/>
      </c>
      <c r="H9" s="9" t="n"/>
    </row>
    <row r="10">
      <c r="B10" s="5" t="inlineStr">
        <is>
          <t>Context (tokens)</t>
        </is>
      </c>
      <c r="C10" s="13" t="n">
        <v>8192</v>
      </c>
      <c r="E10" s="5" t="inlineStr">
        <is>
          <t>VRAM de la GPU (GB)</t>
        </is>
      </c>
      <c r="F10" s="14">
        <f>VLOOKUP($C$13,GPUs!$B$5:$H$14,2,FALSE)</f>
        <v/>
      </c>
      <c r="H10" s="9" t="n"/>
    </row>
    <row r="11">
      <c r="B11" s="5" t="inlineStr">
        <is>
          <t>KV cache quantitzada</t>
        </is>
      </c>
      <c r="C11" s="6" t="inlineStr">
        <is>
          <t>No</t>
        </is>
      </c>
      <c r="E11" s="5" t="inlineStr">
        <is>
          <t>Marge (GB)</t>
        </is>
      </c>
      <c r="F11" s="7">
        <f>$F$10-$F$9</f>
        <v/>
      </c>
      <c r="H11" s="9" t="n"/>
    </row>
    <row r="12">
      <c r="B12" s="5" t="inlineStr">
        <is>
          <t>Usuaris simultanis</t>
        </is>
      </c>
      <c r="C12" s="13" t="n">
        <v>1</v>
      </c>
      <c r="E12" s="11" t="inlineStr">
        <is>
          <t>Hi cap?</t>
        </is>
      </c>
      <c r="F12" s="15">
        <f>IF($F$11&lt;0,"✘ No",IF($F$11&gt;1.5,"✔ Sí","⚠ Just"))</f>
        <v/>
      </c>
      <c r="H12" s="9" t="n"/>
    </row>
    <row r="13">
      <c r="B13" s="5" t="inlineStr">
        <is>
          <t>GPU triada</t>
        </is>
      </c>
      <c r="C13" s="6" t="inlineStr">
        <is>
          <t>RTX 5070</t>
        </is>
      </c>
      <c r="H13" s="9" t="n"/>
    </row>
    <row r="14">
      <c r="E14" s="5" t="inlineStr">
        <is>
          <t>Amplada de banda (GB/s)</t>
        </is>
      </c>
      <c r="F14" s="16">
        <f>VLOOKUP($C$13,GPUs!$B$5:$H$14,3,FALSE)</f>
        <v/>
      </c>
      <c r="H14" s="9" t="n"/>
    </row>
    <row r="15">
      <c r="B15" s="2" t="inlineStr">
        <is>
          <t>Q4_K_M és el punt dolç: ~4x menys memòria que FP16 amb pèrdua de qualitat mínima.</t>
        </is>
      </c>
      <c r="E15" s="5" t="inlineStr">
        <is>
          <t>t/s teòrics</t>
        </is>
      </c>
      <c r="F15" s="17">
        <f>IF($F$7=0,0,VLOOKUP($C$13,GPUs!$B$5:$H$14,3,FALSE)/$F$7)</f>
        <v/>
      </c>
      <c r="H15" s="9" t="n"/>
    </row>
    <row r="16">
      <c r="E16" s="11" t="inlineStr">
        <is>
          <t>t/s esperats a la pràctica</t>
        </is>
      </c>
      <c r="F16" s="18">
        <f>$F$15*0.7</f>
        <v/>
      </c>
      <c r="H16" s="19" t="n"/>
    </row>
    <row r="17">
      <c r="E17" s="2" t="inlineStr">
        <is>
          <t>El rendiment real sol quedar entre el 60 % i el 80 % del teòric.</t>
        </is>
      </c>
    </row>
    <row r="18">
      <c r="H18" s="3" t="inlineStr">
        <is>
          <t>LES DUES FÓRMULES DEL CURS</t>
        </is>
      </c>
    </row>
    <row r="19">
      <c r="H19" s="20" t="inlineStr">
        <is>
          <t>VRAM_pesos ≈ paràmetres (B) × bytes/paràmetre × 1,1</t>
        </is>
      </c>
    </row>
    <row r="20">
      <c r="H20" s="20" t="inlineStr">
        <is>
          <t>tokens/s ≈ amplada de banda (GB/s) ÷ mida del model (GB)</t>
        </is>
      </c>
    </row>
    <row r="22">
      <c r="B22" s="21" t="inlineStr">
        <is>
          <t>CIDET · IA en local · Classe 1</t>
        </is>
      </c>
    </row>
  </sheetData>
  <mergeCells count="3">
    <mergeCell ref="H6:H16"/>
    <mergeCell ref="E5:F5"/>
    <mergeCell ref="B5:C5"/>
  </mergeCells>
  <conditionalFormatting sqref="F12">
    <cfRule type="cellIs" priority="1" operator="equal" dxfId="0">
      <formula>"✔ Sí"</formula>
    </cfRule>
    <cfRule type="cellIs" priority="2" operator="equal" dxfId="1">
      <formula>"⚠ Just"</formula>
    </cfRule>
    <cfRule type="cellIs" priority="3" operator="equal" dxfId="2">
      <formula>"✘ No"</formula>
    </cfRule>
  </conditionalFormatting>
  <conditionalFormatting sqref="F11">
    <cfRule type="cellIs" priority="4" operator="lessThan" dxfId="3">
      <formula>0</formula>
    </cfRule>
    <cfRule type="cellIs" priority="5" operator="between" dxfId="4">
      <formula>0</formula>
      <formula>1.5</formula>
    </cfRule>
    <cfRule type="cellIs" priority="6" operator="greaterThan" dxfId="5">
      <formula>1.5</formula>
    </cfRule>
  </conditionalFormatting>
  <dataValidations count="6">
    <dataValidation sqref="C8" showDropDown="0" showInputMessage="0" showErrorMessage="1" allowBlank="0" errorTitle="Paràmetres" error="Els paràmetres han de ser un número més gran que 0." type="decimal" operator="greaterThan">
      <formula1>0</formula1>
    </dataValidation>
    <dataValidation sqref="C9" showDropDown="0" showInputMessage="0" showErrorMessage="1" allowBlank="0" errorTitle="Quantització no vàlida" error="Tria un valor de la llista: FP16, Q8, Q6, Q4 o Q3." type="list">
      <formula1>Referencia!$B$5:$B$9</formula1>
    </dataValidation>
    <dataValidation sqref="C10" showDropDown="0" showInputMessage="0" showErrorMessage="1" allowBlank="0" errorTitle="Context no vàlid" error="Tria una de les mides de context de la llista." type="list">
      <formula1>Referencia!$H$5:$H$11</formula1>
    </dataValidation>
    <dataValidation sqref="C11" showDropDown="0" showInputMessage="0" showErrorMessage="1" allowBlank="0" errorTitle="Valor no vàlid" error="Només 'No' o 'Q8'." type="list">
      <formula1>"No,Q8"</formula1>
    </dataValidation>
    <dataValidation sqref="C12" showDropDown="0" showInputMessage="0" showErrorMessage="1" allowBlank="0" errorTitle="Usuaris" error="Com a mínim 1 usuari simultani." type="whole" operator="greaterThanOrEqual">
      <formula1>1</formula1>
    </dataValidation>
    <dataValidation sqref="C13" showDropDown="0" showInputMessage="0" showErrorMessage="1" allowBlank="0" errorTitle="GPU no vàlida" error="Tria una GPU de la pestanya GPUs." type="list">
      <formula1>GPUs!$B$5:$B$14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20" customWidth="1" min="4" max="4"/>
    <col width="16" customWidth="1" min="5" max="5"/>
    <col width="8" customWidth="1" min="6" max="6"/>
    <col width="18" customWidth="1" min="7" max="7"/>
    <col width="20" customWidth="1" min="8" max="8"/>
  </cols>
  <sheetData>
    <row r="2">
      <c r="B2" s="1" t="inlineStr">
        <is>
          <t>GPUs de referència</t>
        </is>
      </c>
    </row>
    <row r="3">
      <c r="B3" s="2" t="inlineStr">
        <is>
          <t>Comprova sempre l'amplada de banda de la variant concreta a techpowerup.com/gpu-specs</t>
        </is>
      </c>
    </row>
    <row r="4" ht="30" customHeight="1">
      <c r="B4" s="22" t="inlineStr">
        <is>
          <t>GPU</t>
        </is>
      </c>
      <c r="C4" s="22" t="inlineStr">
        <is>
          <t>VRAM (GB)</t>
        </is>
      </c>
      <c r="D4" s="22" t="inlineStr">
        <is>
          <t>Amplada banda (GB/s)</t>
        </is>
      </c>
      <c r="E4" s="22" t="inlineStr">
        <is>
          <t>Arquitectura</t>
        </is>
      </c>
      <c r="F4" s="22" t="inlineStr">
        <is>
          <t>Any</t>
        </is>
      </c>
      <c r="G4" s="22" t="inlineStr">
        <is>
          <t>Accelera FP8/FP4</t>
        </is>
      </c>
      <c r="H4" s="22" t="inlineStr">
        <is>
          <t>Preu orientatiu (€)</t>
        </is>
      </c>
    </row>
    <row r="5">
      <c r="B5" s="23" t="inlineStr">
        <is>
          <t>RTX 3060</t>
        </is>
      </c>
      <c r="C5" s="24" t="n">
        <v>12</v>
      </c>
      <c r="D5" s="24" t="n">
        <v>360</v>
      </c>
      <c r="E5" s="25" t="inlineStr">
        <is>
          <t>Ampere</t>
        </is>
      </c>
      <c r="F5" s="24" t="n">
        <v>2021</v>
      </c>
      <c r="G5" s="25" t="inlineStr">
        <is>
          <t>No</t>
        </is>
      </c>
      <c r="H5" s="24" t="n">
        <v>300</v>
      </c>
    </row>
    <row r="6">
      <c r="B6" s="23" t="inlineStr">
        <is>
          <t>RTX 5070</t>
        </is>
      </c>
      <c r="C6" s="24" t="n">
        <v>12</v>
      </c>
      <c r="D6" s="24" t="n">
        <v>672</v>
      </c>
      <c r="E6" s="25" t="inlineStr">
        <is>
          <t>Blackwell</t>
        </is>
      </c>
      <c r="F6" s="24" t="n">
        <v>2025</v>
      </c>
      <c r="G6" s="25" t="inlineStr">
        <is>
          <t>Sí</t>
        </is>
      </c>
      <c r="H6" s="24" t="n">
        <v>650</v>
      </c>
    </row>
    <row r="7">
      <c r="B7" s="23" t="inlineStr">
        <is>
          <t>RTX 5060 Ti</t>
        </is>
      </c>
      <c r="C7" s="24" t="n">
        <v>16</v>
      </c>
      <c r="D7" s="24" t="n">
        <v>448</v>
      </c>
      <c r="E7" s="25" t="inlineStr">
        <is>
          <t>Blackwell</t>
        </is>
      </c>
      <c r="F7" s="24" t="n">
        <v>2025</v>
      </c>
      <c r="G7" s="25" t="inlineStr">
        <is>
          <t>Sí</t>
        </is>
      </c>
      <c r="H7" s="24" t="n">
        <v>480</v>
      </c>
    </row>
    <row r="8">
      <c r="B8" s="26" t="inlineStr">
        <is>
          <t>RTX 4090</t>
        </is>
      </c>
      <c r="C8" s="27" t="n">
        <v>24</v>
      </c>
      <c r="D8" s="27" t="n">
        <v>1008</v>
      </c>
      <c r="E8" s="28" t="inlineStr">
        <is>
          <t>Ada Lovelace</t>
        </is>
      </c>
      <c r="F8" s="27" t="n">
        <v>2022</v>
      </c>
      <c r="G8" s="28" t="inlineStr">
        <is>
          <t>No</t>
        </is>
      </c>
      <c r="H8" s="27" t="n">
        <v>1900</v>
      </c>
    </row>
    <row r="9">
      <c r="B9" s="26" t="inlineStr">
        <is>
          <t>RTX 5090</t>
        </is>
      </c>
      <c r="C9" s="27" t="n">
        <v>32</v>
      </c>
      <c r="D9" s="27" t="n">
        <v>1792</v>
      </c>
      <c r="E9" s="28" t="inlineStr">
        <is>
          <t>Blackwell</t>
        </is>
      </c>
      <c r="F9" s="27" t="n">
        <v>2025</v>
      </c>
      <c r="G9" s="28" t="inlineStr">
        <is>
          <t>Sí</t>
        </is>
      </c>
      <c r="H9" s="27" t="n">
        <v>2400</v>
      </c>
    </row>
    <row r="10">
      <c r="B10" s="26" t="inlineStr">
        <is>
          <t>L4</t>
        </is>
      </c>
      <c r="C10" s="27" t="n">
        <v>24</v>
      </c>
      <c r="D10" s="27" t="n">
        <v>300</v>
      </c>
      <c r="E10" s="28" t="inlineStr">
        <is>
          <t>Ada Lovelace</t>
        </is>
      </c>
      <c r="F10" s="27" t="n">
        <v>2023</v>
      </c>
      <c r="G10" s="28" t="inlineStr">
        <is>
          <t>No</t>
        </is>
      </c>
      <c r="H10" s="27" t="n">
        <v>2600</v>
      </c>
    </row>
    <row r="11">
      <c r="B11" s="26" t="inlineStr">
        <is>
          <t>A100 40GB</t>
        </is>
      </c>
      <c r="C11" s="27" t="n">
        <v>40</v>
      </c>
      <c r="D11" s="27" t="n">
        <v>1555</v>
      </c>
      <c r="E11" s="28" t="inlineStr">
        <is>
          <t>Ampere</t>
        </is>
      </c>
      <c r="F11" s="27" t="n">
        <v>2020</v>
      </c>
      <c r="G11" s="28" t="inlineStr">
        <is>
          <t>No</t>
        </is>
      </c>
      <c r="H11" s="27" t="n">
        <v>9000</v>
      </c>
    </row>
    <row r="12">
      <c r="B12" s="26" t="inlineStr">
        <is>
          <t>RTX 4060 Ti 16GB</t>
        </is>
      </c>
      <c r="C12" s="27" t="n">
        <v>16</v>
      </c>
      <c r="D12" s="27" t="n">
        <v>288</v>
      </c>
      <c r="E12" s="28" t="inlineStr">
        <is>
          <t>Ada Lovelace</t>
        </is>
      </c>
      <c r="F12" s="27" t="n">
        <v>2023</v>
      </c>
      <c r="G12" s="28" t="inlineStr">
        <is>
          <t>No</t>
        </is>
      </c>
      <c r="H12" s="27" t="n">
        <v>480</v>
      </c>
    </row>
    <row r="13">
      <c r="B13" s="26" t="inlineStr">
        <is>
          <t>RTX 3090</t>
        </is>
      </c>
      <c r="C13" s="27" t="n">
        <v>24</v>
      </c>
      <c r="D13" s="27" t="n">
        <v>936</v>
      </c>
      <c r="E13" s="28" t="inlineStr">
        <is>
          <t>Ampere</t>
        </is>
      </c>
      <c r="F13" s="27" t="n">
        <v>2020</v>
      </c>
      <c r="G13" s="28" t="inlineStr">
        <is>
          <t>No</t>
        </is>
      </c>
      <c r="H13" s="27" t="n">
        <v>800</v>
      </c>
    </row>
    <row r="14">
      <c r="B14" s="26" t="inlineStr">
        <is>
          <t>RTX 5080</t>
        </is>
      </c>
      <c r="C14" s="27" t="n">
        <v>16</v>
      </c>
      <c r="D14" s="27" t="n">
        <v>960</v>
      </c>
      <c r="E14" s="28" t="inlineStr">
        <is>
          <t>Blackwell</t>
        </is>
      </c>
      <c r="F14" s="27" t="n">
        <v>2025</v>
      </c>
      <c r="G14" s="28" t="inlineStr">
        <is>
          <t>Sí</t>
        </is>
      </c>
      <c r="H14" s="27" t="n">
        <v>1200</v>
      </c>
    </row>
    <row r="16">
      <c r="B16" s="2" t="inlineStr">
        <is>
          <t>Files ombrejades = les tres GPU de l'aula.</t>
        </is>
      </c>
    </row>
    <row r="17">
      <c r="B17" s="2" t="inlineStr">
        <is>
          <t>Els preus són orientatius de mercat de segona mà / PVP 2026 i canvien cada mes: fes-los servir només per comparar ordres de magnitud.</t>
        </is>
      </c>
    </row>
    <row r="18">
      <c r="B18" s="2" t="inlineStr">
        <is>
          <t>Les Blackwell (50xx) accelen FP8/FP4 per maquinari; Ampere no. Això importa per a vLLM i models quantitzats en FP8.</t>
        </is>
      </c>
    </row>
    <row r="20">
      <c r="B20" s="21" t="inlineStr">
        <is>
          <t>CIDET · IA en local · Classe 1</t>
        </is>
      </c>
    </row>
  </sheetData>
  <sheetProtection selectLockedCells="1" selectUnlockedCells="1" sheet="1" objects="1" insertRows="1" insertHyperlinks="1" autoFilter="1" scenarios="1" formatColumns="1" deleteColumns="1" insertColumns="1" pivotTables="1" deleteRows="1" formatCells="0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20" customWidth="1" min="4" max="4"/>
    <col width="22" customWidth="1" min="5" max="5"/>
    <col width="40" customWidth="1" min="6" max="6"/>
    <col width="14" customWidth="1" min="8" max="8"/>
  </cols>
  <sheetData>
    <row r="2">
      <c r="B2" s="1" t="inlineStr">
        <is>
          <t>Referència: quantitzacions i fórmules</t>
        </is>
      </c>
    </row>
    <row r="4" ht="30" customHeight="1">
      <c r="B4" s="22" t="inlineStr">
        <is>
          <t>Quantització</t>
        </is>
      </c>
      <c r="C4" s="22" t="inlineStr">
        <is>
          <t>Bits</t>
        </is>
      </c>
      <c r="D4" s="22" t="inlineStr">
        <is>
          <t>Bytes/paràmetre</t>
        </is>
      </c>
      <c r="E4" s="22" t="inlineStr">
        <is>
          <t>Mida relativa</t>
        </is>
      </c>
      <c r="F4" s="22" t="inlineStr">
        <is>
          <t>Pèrdua de qualitat orientativa</t>
        </is>
      </c>
      <c r="H4" s="29" t="inlineStr">
        <is>
          <t>Contextos</t>
        </is>
      </c>
    </row>
    <row r="5">
      <c r="B5" s="26" t="inlineStr">
        <is>
          <t>FP16</t>
        </is>
      </c>
      <c r="C5" s="28" t="n">
        <v>16</v>
      </c>
      <c r="D5" s="30" t="n">
        <v>2</v>
      </c>
      <c r="E5" s="28" t="inlineStr">
        <is>
          <t>100 %</t>
        </is>
      </c>
      <c r="F5" s="26" t="inlineStr">
        <is>
          <t>Cap (referència)</t>
        </is>
      </c>
      <c r="H5" s="31" t="n">
        <v>2048</v>
      </c>
    </row>
    <row r="6">
      <c r="B6" s="26" t="inlineStr">
        <is>
          <t>Q8</t>
        </is>
      </c>
      <c r="C6" s="28" t="n">
        <v>8</v>
      </c>
      <c r="D6" s="30" t="n">
        <v>1</v>
      </c>
      <c r="E6" s="28" t="inlineStr">
        <is>
          <t>50 %</t>
        </is>
      </c>
      <c r="F6" s="26" t="inlineStr">
        <is>
          <t>Pràcticament imperceptible</t>
        </is>
      </c>
      <c r="H6" s="31" t="n">
        <v>4096</v>
      </c>
    </row>
    <row r="7">
      <c r="B7" s="26" t="inlineStr">
        <is>
          <t>Q6</t>
        </is>
      </c>
      <c r="C7" s="28" t="n">
        <v>6</v>
      </c>
      <c r="D7" s="30" t="n">
        <v>0.75</v>
      </c>
      <c r="E7" s="28" t="inlineStr">
        <is>
          <t>38 %</t>
        </is>
      </c>
      <c r="F7" s="26" t="inlineStr">
        <is>
          <t>Molt petita</t>
        </is>
      </c>
      <c r="H7" s="31" t="n">
        <v>8192</v>
      </c>
    </row>
    <row r="8">
      <c r="B8" s="23" t="inlineStr">
        <is>
          <t>Q4</t>
        </is>
      </c>
      <c r="C8" s="25" t="n">
        <v>4</v>
      </c>
      <c r="D8" s="32" t="n">
        <v>0.5</v>
      </c>
      <c r="E8" s="25" t="inlineStr">
        <is>
          <t>25 %</t>
        </is>
      </c>
      <c r="F8" s="23" t="inlineStr">
        <is>
          <t>Petita — el punt dolç (Q4_K_M)</t>
        </is>
      </c>
      <c r="H8" s="31" t="n">
        <v>16384</v>
      </c>
    </row>
    <row r="9">
      <c r="B9" s="26" t="inlineStr">
        <is>
          <t>Q3</t>
        </is>
      </c>
      <c r="C9" s="28" t="n">
        <v>3</v>
      </c>
      <c r="D9" s="30" t="n">
        <v>0.4</v>
      </c>
      <c r="E9" s="28" t="inlineStr">
        <is>
          <t>20 %</t>
        </is>
      </c>
      <c r="F9" s="26" t="inlineStr">
        <is>
          <t>Notable: comença a fallar en raonament</t>
        </is>
      </c>
      <c r="H9" s="31" t="n">
        <v>32768</v>
      </c>
    </row>
    <row r="10">
      <c r="H10" s="31" t="n">
        <v>65536</v>
      </c>
    </row>
    <row r="11">
      <c r="B11" s="33" t="inlineStr">
        <is>
          <t>Q4_K_M és el punt dolç</t>
        </is>
      </c>
      <c r="H11" s="31" t="n">
        <v>131072</v>
      </c>
    </row>
    <row r="12">
      <c r="B12" s="34" t="inlineStr">
        <is>
          <t>Per al 95 % dels casos d'empresa, la resposta és RAG, no fine-tuning.</t>
        </is>
      </c>
    </row>
    <row r="14">
      <c r="B14" s="3" t="inlineStr">
        <is>
          <t>LES FÓRMULES DEL CURS</t>
        </is>
      </c>
      <c r="C14" s="35" t="n"/>
      <c r="D14" s="35" t="n"/>
      <c r="E14" s="35" t="n"/>
      <c r="F14" s="4" t="n"/>
    </row>
    <row r="16">
      <c r="B16" s="36" t="inlineStr">
        <is>
          <t>VRAM_pesos (GB) ≈ paràmetres (B) × bytes/paràmetre × 1,1</t>
        </is>
      </c>
    </row>
    <row r="18">
      <c r="B18" s="36" t="inlineStr">
        <is>
          <t>tokens/s ≈ amplada de banda (GB/s) ÷ mida del model (GB)</t>
        </is>
      </c>
    </row>
    <row r="20">
      <c r="B20" s="36" t="inlineStr">
        <is>
          <t>VRAM_context (GB) ≈ 0,1–0,2 GB per cada 1.000 tokens  (la meitat amb KV cache Q8)</t>
        </is>
      </c>
    </row>
    <row r="22">
      <c r="B22" s="37" t="inlineStr">
        <is>
          <t>Regles pràctiques</t>
        </is>
      </c>
    </row>
    <row r="23">
      <c r="B23" s="38" t="inlineStr">
        <is>
          <t>· El 1,1 de la fórmula és el sobrecost real: activacions, buffers i fragmentació.</t>
        </is>
      </c>
    </row>
    <row r="24">
      <c r="B24" s="38" t="inlineStr">
        <is>
          <t>· Per a assistents d'empresa, temperatura 0–0,3.</t>
        </is>
      </c>
    </row>
    <row r="25">
      <c r="B25" s="38" t="inlineStr">
        <is>
          <t>· El català tokenitza pitjor que l'anglès: més context consumit i, per tant, més lent.</t>
        </is>
      </c>
    </row>
    <row r="26">
      <c r="B26" s="38" t="inlineStr">
        <is>
          <t>· El rendiment real queda entre el 60 % i el 80 % del teòric.</t>
        </is>
      </c>
    </row>
    <row r="27">
      <c r="B27" s="38" t="inlineStr">
        <is>
          <t>· Les Blackwell accelen FP8/FP4 per maquinari; Ampere no.</t>
        </is>
      </c>
    </row>
    <row r="30">
      <c r="B30" s="21" t="inlineStr">
        <is>
          <t>CIDET · IA en local · Classe 1</t>
        </is>
      </c>
    </row>
  </sheetData>
  <sheetProtection selectLockedCells="1" selectUnlockedCells="1" sheet="1" objects="1" insertRows="1" insertHyperlinks="1" autoFilter="1" scenarios="1" formatColumns="1" deleteColumns="1" insertColumns="1" pivotTables="1" deleteRows="1" formatCells="1" formatRows="1" sort="1"/>
  <mergeCells count="9">
    <mergeCell ref="B24:F24"/>
    <mergeCell ref="B16:F16"/>
    <mergeCell ref="B20:F20"/>
    <mergeCell ref="B25:F25"/>
    <mergeCell ref="B23:F23"/>
    <mergeCell ref="B14:F14"/>
    <mergeCell ref="B26:F26"/>
    <mergeCell ref="B18:F18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" customWidth="1" min="3" max="3"/>
    <col width="9" customWidth="1" min="4" max="4"/>
    <col width="11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4" customWidth="1" min="11" max="11"/>
    <col width="15" customWidth="1" min="12" max="12"/>
  </cols>
  <sheetData>
    <row r="2">
      <c r="B2" s="1" t="inlineStr">
        <is>
          <t>Exemples resolts — la matriu «hi cap?»</t>
        </is>
      </c>
    </row>
    <row r="3">
      <c r="B3" s="2" t="inlineStr">
        <is>
          <t>Reprodueix la diapositiva 24. Els números són fórmules: canvia'ls i mira què passa.</t>
        </is>
      </c>
    </row>
    <row r="5" ht="34" customHeight="1">
      <c r="B5" s="22" t="inlineStr">
        <is>
          <t>Model</t>
        </is>
      </c>
      <c r="C5" s="22" t="inlineStr">
        <is>
          <t>Par. (B)</t>
        </is>
      </c>
      <c r="D5" s="22" t="inlineStr">
        <is>
          <t>Quant.</t>
        </is>
      </c>
      <c r="E5" s="22" t="inlineStr">
        <is>
          <t>Context</t>
        </is>
      </c>
      <c r="F5" s="22" t="inlineStr">
        <is>
          <t>VRAM pesos</t>
        </is>
      </c>
      <c r="G5" s="22" t="inlineStr">
        <is>
          <t>VRAM ctx</t>
        </is>
      </c>
      <c r="H5" s="22" t="inlineStr">
        <is>
          <t>VRAM teòrica</t>
        </is>
      </c>
      <c r="I5" s="22" t="inlineStr">
        <is>
          <t>VRAM real (Ollama)</t>
        </is>
      </c>
      <c r="J5" s="22" t="inlineStr">
        <is>
          <t>RTX 3060 12GB</t>
        </is>
      </c>
      <c r="K5" s="22" t="inlineStr">
        <is>
          <t>RTX 5070 12GB</t>
        </is>
      </c>
      <c r="L5" s="22" t="inlineStr">
        <is>
          <t>RTX 5060 Ti 16GB</t>
        </is>
      </c>
    </row>
    <row r="6">
      <c r="B6" s="26" t="inlineStr">
        <is>
          <t>Qwen3 14B</t>
        </is>
      </c>
      <c r="C6" s="39" t="n">
        <v>14</v>
      </c>
      <c r="D6" s="28" t="inlineStr">
        <is>
          <t>Q4</t>
        </is>
      </c>
      <c r="E6" s="27" t="n">
        <v>8192</v>
      </c>
      <c r="F6" s="40">
        <f>C6*VLOOKUP(D6,Referencia!$B$5:$D$9,3,FALSE)*1.1</f>
        <v/>
      </c>
      <c r="G6" s="40">
        <f>E6/1000*0.15*1</f>
        <v/>
      </c>
      <c r="H6" s="40">
        <f>F6+G6</f>
        <v/>
      </c>
      <c r="I6" s="41" t="n">
        <v>11</v>
      </c>
      <c r="J6" s="28">
        <f>IF(12-$I6&lt;0,"✘ No",IF(12-$I6&gt;1.5,"✔ Sí","⚠ Just"))</f>
        <v/>
      </c>
      <c r="K6" s="28">
        <f>IF(12-$I6&lt;0,"✘ No",IF(12-$I6&gt;1.5,"✔ Sí","⚠ Just"))</f>
        <v/>
      </c>
      <c r="L6" s="28">
        <f>IF(16-$I6&lt;0,"✘ No",IF(16-$I6&gt;1.5,"✔ Sí","⚠ Just"))</f>
        <v/>
      </c>
    </row>
    <row r="7">
      <c r="B7" s="26" t="inlineStr">
        <is>
          <t>Gemma 4 26B-A4B</t>
        </is>
      </c>
      <c r="C7" s="39" t="n">
        <v>26</v>
      </c>
      <c r="D7" s="28" t="inlineStr">
        <is>
          <t>Q4</t>
        </is>
      </c>
      <c r="E7" s="27" t="n">
        <v>8192</v>
      </c>
      <c r="F7" s="40">
        <f>C7*VLOOKUP(D7,Referencia!$B$5:$D$9,3,FALSE)*1.1</f>
        <v/>
      </c>
      <c r="G7" s="40">
        <f>E7/1000*0.15*1</f>
        <v/>
      </c>
      <c r="H7" s="40">
        <f>F7+G7</f>
        <v/>
      </c>
      <c r="I7" s="41" t="n">
        <v>15.5</v>
      </c>
      <c r="J7" s="28">
        <f>IF(12-$I7&lt;0,"✘ No",IF(12-$I7&gt;1.5,"✔ Sí","⚠ Just"))</f>
        <v/>
      </c>
      <c r="K7" s="28">
        <f>IF(12-$I7&lt;0,"✘ No",IF(12-$I7&gt;1.5,"✔ Sí","⚠ Just"))</f>
        <v/>
      </c>
      <c r="L7" s="28">
        <f>IF(16-$I7&lt;0,"✘ No",IF(16-$I7&gt;1.5,"✔ Sí","⚠ Just"))</f>
        <v/>
      </c>
    </row>
    <row r="8">
      <c r="B8" s="26" t="inlineStr">
        <is>
          <t>Qwen3.6 27B</t>
        </is>
      </c>
      <c r="C8" s="39" t="n">
        <v>27</v>
      </c>
      <c r="D8" s="28" t="inlineStr">
        <is>
          <t>Q4</t>
        </is>
      </c>
      <c r="E8" s="27" t="n">
        <v>8192</v>
      </c>
      <c r="F8" s="40">
        <f>C8*VLOOKUP(D8,Referencia!$B$5:$D$9,3,FALSE)*1.1</f>
        <v/>
      </c>
      <c r="G8" s="40">
        <f>E8/1000*0.15*1</f>
        <v/>
      </c>
      <c r="H8" s="40">
        <f>F8+G8</f>
        <v/>
      </c>
      <c r="I8" s="41" t="n">
        <v>18.2</v>
      </c>
      <c r="J8" s="28">
        <f>IF(12-$I8&lt;0,"✘ No",IF(12-$I8&gt;1.5,"✔ Sí","⚠ Just"))</f>
        <v/>
      </c>
      <c r="K8" s="28">
        <f>IF(12-$I8&lt;0,"✘ No",IF(12-$I8&gt;1.5,"✔ Sí","⚠ Just"))</f>
        <v/>
      </c>
      <c r="L8" s="28">
        <f>IF(16-$I8&lt;0,"✘ No",IF(16-$I8&gt;1.5,"✔ Sí","⚠ Just"))</f>
        <v/>
      </c>
    </row>
    <row r="10">
      <c r="B10" s="42" t="inlineStr">
        <is>
          <t>Com es llegeix això</t>
        </is>
      </c>
    </row>
    <row r="11">
      <c r="B11" s="38" t="inlineStr">
        <is>
          <t>· Qwen3 14B Q4 amb 8k de context: la fórmula dóna ~8,9 GB, però mesurat a Ollama en surten ~11 GB.</t>
        </is>
      </c>
    </row>
    <row r="12">
      <c r="B12" s="38" t="inlineStr">
        <is>
          <t xml:space="preserve">   Just a la 5070 (12 GB): arrenca, però sense marge. Còmode a la 5060 Ti (16 GB).</t>
        </is>
      </c>
    </row>
    <row r="13">
      <c r="B13" s="38" t="inlineStr">
        <is>
          <t>· Gemma 4 26B-A4B Q4 → ~15,5 GB. Només a la 5060 Ti, i molt just.</t>
        </is>
      </c>
    </row>
    <row r="14">
      <c r="B14" s="38" t="inlineStr">
        <is>
          <t>· Qwen3.6 27B Q4 → ~18 GB. A cap de les tres GPU de l'aula.</t>
        </is>
      </c>
    </row>
    <row r="15">
      <c r="B15" s="38" t="inlineStr"/>
    </row>
    <row r="16">
      <c r="B16" s="42" t="inlineStr">
        <is>
          <t>Per què la teòrica i la real no coincideixen?</t>
        </is>
      </c>
    </row>
    <row r="17">
      <c r="B17" s="38" t="inlineStr">
        <is>
          <t>· Q4_K_M no són 0,5 bytes/paràmetre exactes: barreja blocs de 4, 5 i 6 bits i surt a ~0,6 de mitjana.</t>
        </is>
      </c>
    </row>
    <row r="18">
      <c r="B18" s="38" t="inlineStr">
        <is>
          <t>· El runtime (Ollama/llama.cpp) reserva els seus propis búfers de càlcul, a banda de pesos i KV cache.</t>
        </is>
      </c>
    </row>
    <row r="19">
      <c r="B19" s="38" t="inlineStr">
        <is>
          <t>· La fórmula del curs és per DIMENSIONAR de pressa, no per predir al decigram.</t>
        </is>
      </c>
    </row>
    <row r="20">
      <c r="B20" s="38" t="inlineStr">
        <is>
          <t xml:space="preserve">   Regla de butxaca: si el marge teòric és &lt; 2 GB, considera-ho «just» i mesura-ho abans de prometre res.</t>
        </is>
      </c>
    </row>
    <row r="21">
      <c r="B21" s="38" t="inlineStr"/>
    </row>
    <row r="22">
      <c r="B22" s="42" t="inlineStr">
        <is>
          <t>Conclusió del curs: amb 12–16 GB, la franja útil és 7B–14B en Q4.</t>
        </is>
      </c>
    </row>
    <row r="23">
      <c r="B23" s="38" t="inlineStr">
        <is>
          <t>Per a més, o compres més VRAM, o acceptes offload a CPU i la lentitud que comporta.</t>
        </is>
      </c>
    </row>
    <row r="26">
      <c r="B26" s="21" t="inlineStr">
        <is>
          <t>CIDET · IA en local · Classe 1</t>
        </is>
      </c>
    </row>
  </sheetData>
  <sheetProtection selectLockedCells="1" selectUnlockedCells="1" sheet="1" objects="1" insertRows="1" insertHyperlinks="1" autoFilter="1" scenarios="1" formatColumns="1" deleteColumns="1" insertColumns="1" pivotTables="1" deleteRows="1" formatCells="1" formatRows="1" sort="1"/>
  <mergeCells count="14">
    <mergeCell ref="B12:L12"/>
    <mergeCell ref="B13:L13"/>
    <mergeCell ref="B21:L21"/>
    <mergeCell ref="B16:L16"/>
    <mergeCell ref="B15:L15"/>
    <mergeCell ref="B11:L11"/>
    <mergeCell ref="B23:L23"/>
    <mergeCell ref="B19:L19"/>
    <mergeCell ref="B20:L20"/>
    <mergeCell ref="B10:L10"/>
    <mergeCell ref="B22:L22"/>
    <mergeCell ref="B14:L14"/>
    <mergeCell ref="B17:L17"/>
    <mergeCell ref="B18:L18"/>
  </mergeCells>
  <conditionalFormatting sqref="J6:J8">
    <cfRule type="cellIs" priority="1" operator="equal" dxfId="5">
      <formula>"✔ Sí"</formula>
    </cfRule>
    <cfRule type="cellIs" priority="2" operator="equal" dxfId="4">
      <formula>"⚠ Just"</formula>
    </cfRule>
    <cfRule type="cellIs" priority="3" operator="equal" dxfId="3">
      <formula>"✘ No"</formula>
    </cfRule>
  </conditionalFormatting>
  <conditionalFormatting sqref="K6:K8">
    <cfRule type="cellIs" priority="4" operator="equal" dxfId="5">
      <formula>"✔ Sí"</formula>
    </cfRule>
    <cfRule type="cellIs" priority="5" operator="equal" dxfId="4">
      <formula>"⚠ Just"</formula>
    </cfRule>
    <cfRule type="cellIs" priority="6" operator="equal" dxfId="3">
      <formula>"✘ No"</formula>
    </cfRule>
  </conditionalFormatting>
  <conditionalFormatting sqref="L6:L8">
    <cfRule type="cellIs" priority="7" operator="equal" dxfId="5">
      <formula>"✔ Sí"</formula>
    </cfRule>
    <cfRule type="cellIs" priority="8" operator="equal" dxfId="4">
      <formula>"⚠ Just"</formula>
    </cfRule>
    <cfRule type="cellIs" priority="9" operator="equal" dxfId="3">
      <formula>"✘ 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2026-09-07T11:14:47Z</dcterms:created>
  <dcterms:modified xmlns:dcterms="http://purl.org/dc/terms/" xmlns:xsi="http://www.w3.org/2001/XMLSchema-instance" xsi:type="dcterms:W3CDTF">2026-09-07T11:14:47Z</dcterms:modified>
</cp:coreProperties>
</file>